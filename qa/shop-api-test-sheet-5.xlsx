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>
    <definedName name="_xlnm._FilterDatabase" localSheetId="1" hidden="1">'Test Cases'!$A$1:$O$6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  <font>
      <b val="1"/>
      <sz val="14"/>
    </font>
    <font>
      <b val="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</cols>
  <sheetData>
    <row r="1">
      <c r="A1" s="1" t="inlineStr">
        <is>
          <t>Test execution summary</t>
        </is>
      </c>
    </row>
    <row r="2"/>
    <row r="3">
      <c r="A3" s="2" t="inlineStr"/>
      <c r="B3" s="2" t="inlineStr">
        <is>
          <t>Round 1</t>
        </is>
      </c>
      <c r="C3" s="2" t="inlineStr">
        <is>
          <t>Retest (after fixes)</t>
        </is>
      </c>
    </row>
    <row r="4">
      <c r="A4" s="3" t="inlineStr">
        <is>
          <t>Total test cases</t>
        </is>
      </c>
      <c r="B4">
        <f>COUNTA('Test Cases'!A2:A6)</f>
        <v/>
      </c>
      <c r="C4">
        <f>COUNTA('Test Cases'!A2:A6)</f>
        <v/>
      </c>
    </row>
    <row r="5">
      <c r="A5" s="3" t="inlineStr">
        <is>
          <t>Pass</t>
        </is>
      </c>
      <c r="B5">
        <f>COUNTIF('Test Cases'!K2:K6,"Pass")</f>
        <v/>
      </c>
      <c r="C5">
        <f>COUNTIF('Test Cases'!N2:N6,"Pass")</f>
        <v/>
      </c>
    </row>
    <row r="6">
      <c r="A6" s="3" t="inlineStr">
        <is>
          <t>Fail</t>
        </is>
      </c>
      <c r="B6">
        <f>COUNTIF('Test Cases'!K2:K6,"Fail")</f>
        <v/>
      </c>
      <c r="C6">
        <f>COUNTIF('Test Cases'!N2:N6,"Fail")</f>
        <v/>
      </c>
    </row>
    <row r="7">
      <c r="A7" s="3" t="inlineStr">
        <is>
          <t>Blocked</t>
        </is>
      </c>
      <c r="B7">
        <f>COUNTIF('Test Cases'!K2:K6,"Blocked")</f>
        <v/>
      </c>
      <c r="C7">
        <f>COUNTIF('Test Cases'!N2:N6,"Blocked")</f>
        <v/>
      </c>
    </row>
    <row r="8">
      <c r="A8" s="3" t="inlineStr">
        <is>
          <t>Not run</t>
        </is>
      </c>
      <c r="B8">
        <f>COUNTIF('Test Cases'!K2:K6,"Not run")</f>
        <v/>
      </c>
      <c r="C8">
        <f>COUNTIF('Test Cases'!N2:N6,"Not run")</f>
        <v/>
      </c>
    </row>
    <row r="9">
      <c r="A9" s="3" t="inlineStr">
        <is>
          <t>Pass rate (of cases run)</t>
        </is>
      </c>
      <c r="B9" s="4">
        <f>IF(B5+B6=0,0,B5/(B5+B6))</f>
        <v/>
      </c>
      <c r="C9" s="4">
        <f>IF(C5+C6=0,0,C5/(C5+C6))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2" customWidth="1" min="3" max="3"/>
    <col width="9" customWidth="1" min="4" max="4"/>
    <col width="36" customWidth="1" min="5" max="5"/>
    <col width="46" customWidth="1" min="6" max="6"/>
    <col width="11" customWidth="1" min="7" max="7"/>
    <col width="56" customWidth="1" min="8" max="8"/>
    <col width="11" customWidth="1" min="9" max="9"/>
    <col width="38" customWidth="1" min="10" max="10"/>
    <col width="12" customWidth="1" min="11" max="11"/>
    <col width="11" customWidth="1" min="12" max="12"/>
    <col width="38" customWidth="1" min="13" max="13"/>
    <col width="12" customWidth="1" min="14" max="14"/>
    <col width="28" customWidth="1" min="15" max="15"/>
    <col width="10" customWidth="1" min="16" max="16"/>
  </cols>
  <sheetData>
    <row r="1" ht="32" customHeight="1">
      <c r="A1" s="5" t="inlineStr">
        <is>
          <t>Test ID</t>
        </is>
      </c>
      <c r="B1" s="5" t="inlineStr">
        <is>
          <t>Endpoint</t>
        </is>
      </c>
      <c r="C1" s="5" t="inlineStr">
        <is>
          <t>Test case</t>
        </is>
      </c>
      <c r="D1" s="5" t="inlineStr">
        <is>
          <t>Method</t>
        </is>
      </c>
      <c r="E1" s="5" t="inlineStr">
        <is>
          <t>URL</t>
        </is>
      </c>
      <c r="F1" s="5" t="inlineStr">
        <is>
          <t>Request body</t>
        </is>
      </c>
      <c r="G1" s="5" t="inlineStr">
        <is>
          <t>Expected status</t>
        </is>
      </c>
      <c r="H1" s="5" t="inlineStr">
        <is>
          <t>Expected result</t>
        </is>
      </c>
      <c r="I1" s="5" t="inlineStr">
        <is>
          <t>Round 1 status</t>
        </is>
      </c>
      <c r="J1" s="5" t="inlineStr">
        <is>
          <t>Round 1 actual result</t>
        </is>
      </c>
      <c r="K1" s="5" t="inlineStr">
        <is>
          <t>Round 1 Pass/Fail</t>
        </is>
      </c>
      <c r="L1" s="6" t="inlineStr">
        <is>
          <t>Retest status</t>
        </is>
      </c>
      <c r="M1" s="6" t="inlineStr">
        <is>
          <t>Retest actual result</t>
        </is>
      </c>
      <c r="N1" s="6" t="inlineStr">
        <is>
          <t>Retest Pass/Fail</t>
        </is>
      </c>
      <c r="O1" s="5" t="inlineStr">
        <is>
          <t>Notes</t>
        </is>
      </c>
    </row>
    <row r="2">
      <c r="A2" s="7" t="inlineStr">
        <is>
          <t>TC-001</t>
        </is>
      </c>
      <c r="B2" s="7" t="inlineStr">
        <is>
          <t>GET /products</t>
        </is>
      </c>
      <c r="C2" s="7" t="inlineStr">
        <is>
          <t>Page 2 does not overlap page 1</t>
        </is>
      </c>
      <c r="D2" s="7" t="inlineStr">
        <is>
          <t>GET</t>
        </is>
      </c>
      <c r="E2" s="8" t="inlineStr">
        <is>
          <t>/products?page=2&amp;limit=5</t>
        </is>
      </c>
      <c r="F2" s="8" t="inlineStr"/>
      <c r="G2" s="9" t="n">
        <v>200</v>
      </c>
      <c r="H2" s="7" t="inlineStr">
        <is>
          <t>ids 6,7,8,9,10. No id from page 1 appears</t>
        </is>
      </c>
      <c r="I2" s="9" t="inlineStr"/>
      <c r="J2" s="7" t="inlineStr"/>
      <c r="K2" s="7" t="inlineStr">
        <is>
          <t>Not run</t>
        </is>
      </c>
      <c r="L2" s="9" t="inlineStr"/>
      <c r="M2" s="7" t="inlineStr"/>
      <c r="N2" s="9" t="inlineStr">
        <is>
          <t>Not run</t>
        </is>
      </c>
      <c r="O2" s="7" t="inlineStr"/>
    </row>
    <row r="3">
      <c r="A3" s="7" t="inlineStr">
        <is>
          <t>TC-002</t>
        </is>
      </c>
      <c r="B3" s="7" t="inlineStr">
        <is>
          <t>GET /products</t>
        </is>
      </c>
      <c r="C3" s="7" t="inlineStr">
        <is>
          <t>cost_price not in list</t>
        </is>
      </c>
      <c r="D3" s="7" t="inlineStr">
        <is>
          <t>GET</t>
        </is>
      </c>
      <c r="E3" s="8" t="inlineStr">
        <is>
          <t>/products?limit=5</t>
        </is>
      </c>
      <c r="F3" s="8" t="inlineStr"/>
      <c r="G3" s="9" t="n">
        <v>200</v>
      </c>
      <c r="H3" s="7" t="inlineStr">
        <is>
          <t>No item contains a cost_price key</t>
        </is>
      </c>
      <c r="I3" s="9" t="inlineStr"/>
      <c r="J3" s="7" t="inlineStr"/>
      <c r="K3" s="7" t="inlineStr">
        <is>
          <t>Not run</t>
        </is>
      </c>
      <c r="L3" s="9" t="inlineStr"/>
      <c r="M3" s="7" t="inlineStr"/>
      <c r="N3" s="9" t="inlineStr">
        <is>
          <t>Not run</t>
        </is>
      </c>
      <c r="O3" s="7" t="inlineStr"/>
    </row>
    <row r="4">
      <c r="A4" s="7" t="inlineStr">
        <is>
          <t>TC-003</t>
        </is>
      </c>
      <c r="B4" s="7" t="inlineStr">
        <is>
          <t>GET /products</t>
        </is>
      </c>
      <c r="C4" s="7" t="inlineStr">
        <is>
          <t>Search is case-insensitive (upper)</t>
        </is>
      </c>
      <c r="D4" s="7" t="inlineStr">
        <is>
          <t>GET</t>
        </is>
      </c>
      <c r="E4" s="8" t="inlineStr">
        <is>
          <t>/products?search=MILK</t>
        </is>
      </c>
      <c r="F4" s="8" t="inlineStr"/>
      <c r="G4" s="9" t="n">
        <v>200</v>
      </c>
      <c r="H4" s="7" t="inlineStr">
        <is>
          <t>Same result as the lower-case search</t>
        </is>
      </c>
      <c r="I4" s="9" t="inlineStr"/>
      <c r="J4" s="7" t="inlineStr"/>
      <c r="K4" s="7" t="inlineStr">
        <is>
          <t>Not run</t>
        </is>
      </c>
      <c r="L4" s="9" t="inlineStr"/>
      <c r="M4" s="7" t="inlineStr"/>
      <c r="N4" s="9" t="inlineStr">
        <is>
          <t>Not run</t>
        </is>
      </c>
      <c r="O4" s="7" t="inlineStr"/>
    </row>
    <row r="5">
      <c r="A5" s="7" t="inlineStr">
        <is>
          <t>TC-004</t>
        </is>
      </c>
      <c r="B5" s="7" t="inlineStr">
        <is>
          <t>GET /products/:id</t>
        </is>
      </c>
      <c r="C5" s="7" t="inlineStr">
        <is>
          <t>Unknown id</t>
        </is>
      </c>
      <c r="D5" s="7" t="inlineStr">
        <is>
          <t>GET</t>
        </is>
      </c>
      <c r="E5" s="8" t="inlineStr">
        <is>
          <t>/products/999</t>
        </is>
      </c>
      <c r="F5" s="8" t="inlineStr"/>
      <c r="G5" s="9" t="n">
        <v>404</v>
      </c>
      <c r="H5" s="7" t="inlineStr">
        <is>
          <t>{"error":"Product not found"}</t>
        </is>
      </c>
      <c r="I5" s="9" t="inlineStr"/>
      <c r="J5" s="7" t="inlineStr"/>
      <c r="K5" s="7" t="inlineStr">
        <is>
          <t>Not run</t>
        </is>
      </c>
      <c r="L5" s="9" t="inlineStr"/>
      <c r="M5" s="7" t="inlineStr"/>
      <c r="N5" s="9" t="inlineStr">
        <is>
          <t>Not run</t>
        </is>
      </c>
      <c r="O5" s="7" t="inlineStr"/>
    </row>
    <row r="6">
      <c r="A6" s="7" t="inlineStr">
        <is>
          <t>TC-005</t>
        </is>
      </c>
      <c r="B6" s="7" t="inlineStr">
        <is>
          <t>POST /products</t>
        </is>
      </c>
      <c r="C6" s="7" t="inlineStr">
        <is>
          <t>Valid product</t>
        </is>
      </c>
      <c r="D6" s="7" t="inlineStr">
        <is>
          <t>POST</t>
        </is>
      </c>
      <c r="E6" s="8" t="inlineStr">
        <is>
          <t>/products</t>
        </is>
      </c>
      <c r="F6" s="8" t="inlineStr">
        <is>
          <t>{"name":"Brown Rice 1kg","category":"Pantry","price":3.99,"stock":25}</t>
        </is>
      </c>
      <c r="G6" s="9" t="n">
        <v>201</v>
      </c>
      <c r="H6" s="7" t="inlineStr">
        <is>
          <t>Created product with an id, the sent fields, and created_at</t>
        </is>
      </c>
      <c r="I6" s="9" t="inlineStr"/>
      <c r="J6" s="7" t="inlineStr"/>
      <c r="K6" s="7" t="inlineStr">
        <is>
          <t>Not run</t>
        </is>
      </c>
      <c r="L6" s="9" t="inlineStr"/>
      <c r="M6" s="7" t="inlineStr"/>
      <c r="N6" s="9" t="inlineStr">
        <is>
          <t>Not run</t>
        </is>
      </c>
      <c r="O6" s="7" t="inlineStr"/>
    </row>
  </sheetData>
  <autoFilter ref="A1:O6"/>
  <conditionalFormatting sqref="K2:K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N2:N6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</conditionalFormatting>
  <dataValidations count="1">
    <dataValidation sqref="K2:K6 N2:N6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2026-10-20T22:21:24Z</dcterms:created>
  <dcterms:modified xsi:type="dcterms:W3CDTF">2026-10-20T23:59:24Z</dcterms:modified>
</cp:coreProperties>
</file>